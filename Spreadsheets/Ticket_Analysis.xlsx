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fed6f4eeafd8d5/Desktop/DA Assignment/Excel/"/>
    </mc:Choice>
  </mc:AlternateContent>
  <xr:revisionPtr revIDLastSave="104" documentId="8_{72293BE6-E87F-4923-9F92-EF8A7C7D3954}" xr6:coauthVersionLast="47" xr6:coauthVersionMax="47" xr10:uidLastSave="{FBE833F0-7CFA-4249-AA8B-8807F11CE84D}"/>
  <bookViews>
    <workbookView xWindow="-108" yWindow="-108" windowWidth="23256" windowHeight="12456" xr2:uid="{A6371F58-B36B-459D-8D5C-D7431B008DE6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2" i="1"/>
  <c r="M3" i="1"/>
  <c r="M4" i="1"/>
  <c r="M2" i="1"/>
  <c r="G3" i="1"/>
  <c r="G4" i="1"/>
  <c r="G5" i="1"/>
  <c r="G6" i="1"/>
  <c r="G2" i="1"/>
  <c r="F3" i="1"/>
  <c r="F4" i="1"/>
  <c r="F5" i="1"/>
  <c r="F6" i="1"/>
  <c r="F2" i="1"/>
  <c r="D3" i="2"/>
  <c r="D4" i="2"/>
  <c r="D5" i="2"/>
  <c r="D6" i="2"/>
  <c r="D2" i="2"/>
</calcChain>
</file>

<file path=xl/sharedStrings.xml><?xml version="1.0" encoding="utf-8"?>
<sst xmlns="http://schemas.openxmlformats.org/spreadsheetml/2006/main" count="37" uniqueCount="26">
  <si>
    <t>ticket_id</t>
  </si>
  <si>
    <t>created_at</t>
  </si>
  <si>
    <t>closed_at</t>
  </si>
  <si>
    <t>outlet_id</t>
  </si>
  <si>
    <t>cms_id</t>
  </si>
  <si>
    <t>T1</t>
  </si>
  <si>
    <t>O1</t>
  </si>
  <si>
    <t>C1</t>
  </si>
  <si>
    <t>T2</t>
  </si>
  <si>
    <t>O2</t>
  </si>
  <si>
    <t>C2</t>
  </si>
  <si>
    <t>T3</t>
  </si>
  <si>
    <t>C3</t>
  </si>
  <si>
    <t>T4</t>
  </si>
  <si>
    <t>C4</t>
  </si>
  <si>
    <t>T5</t>
  </si>
  <si>
    <t>O3</t>
  </si>
  <si>
    <t>C5</t>
  </si>
  <si>
    <t>feedback_at</t>
  </si>
  <si>
    <t>feedback_rating</t>
  </si>
  <si>
    <t>ticket_created_at</t>
  </si>
  <si>
    <t>same_day</t>
  </si>
  <si>
    <t>same_hour</t>
  </si>
  <si>
    <t>Outlet</t>
  </si>
  <si>
    <t>same_day_count</t>
  </si>
  <si>
    <t>same_hour_count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</si>
</sst>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70F9-0B02-4FC0-B6AD-40A897DE3D96}">
  <dimension ref="A1:N16"/>
  <sheetViews>
    <sheetView tabSelected="1" workbookViewId="0">
      <selection activeCell="K16" sqref="K16"/>
    </sheetView>
  </sheetViews>
  <sheetFormatPr defaultRowHeight="14.4" x14ac:dyDescent="0.3"/>
  <cols>
    <col min="2" max="2" width="15.44140625" customWidth="1"/>
    <col min="3" max="4" width="15.44140625" bestFit="1" customWidth="1"/>
    <col min="5" max="5" width="8.33203125" bestFit="1" customWidth="1"/>
    <col min="6" max="6" width="9.21875" bestFit="1" customWidth="1"/>
    <col min="7" max="7" width="10.109375" bestFit="1" customWidth="1"/>
    <col min="9" max="9" width="8.88671875" customWidth="1"/>
    <col min="13" max="13" width="15" bestFit="1" customWidth="1"/>
    <col min="14" max="14" width="15.88671875" bestFit="1" customWidth="1"/>
  </cols>
  <sheetData>
    <row r="1" spans="1:14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21</v>
      </c>
      <c r="G1" t="s">
        <v>22</v>
      </c>
      <c r="L1" t="s">
        <v>23</v>
      </c>
      <c r="M1" t="s">
        <v>24</v>
      </c>
      <c r="N1" t="s">
        <v>25</v>
      </c>
    </row>
    <row r="2" spans="1:14" x14ac:dyDescent="0.3">
      <c r="A2" t="s">
        <v>7</v>
      </c>
      <c r="B2" t="s">
        <v>5</v>
      </c>
      <c r="C2" s="1">
        <v>44427.698414351849</v>
      </c>
      <c r="D2" s="1">
        <v>44430.523287037038</v>
      </c>
      <c r="E2" t="s">
        <v>6</v>
      </c>
      <c r="F2" t="str">
        <f>IF(INT(C2)=INT(D2),"Yes","No")</f>
        <v>No</v>
      </c>
      <c r="G2" t="str">
        <f>IF(AND(INT(C2)=INT(D2),HOUR(C2)=HOUR(D2)),"Yes","No")</f>
        <v>No</v>
      </c>
      <c r="L2" t="s">
        <v>6</v>
      </c>
      <c r="M2">
        <f>COUNTIFS($E:$E,L2,$F:$F,"Yes")</f>
        <v>1</v>
      </c>
      <c r="N2">
        <f>COUNTIFS($E:$E,L2,$G:$G,"Yes")</f>
        <v>1</v>
      </c>
    </row>
    <row r="3" spans="1:14" x14ac:dyDescent="0.3">
      <c r="A3" t="s">
        <v>10</v>
      </c>
      <c r="B3" t="s">
        <v>8</v>
      </c>
      <c r="C3" s="1">
        <v>44429.464837962965</v>
      </c>
      <c r="D3" s="1">
        <v>44429.717881944445</v>
      </c>
      <c r="E3" t="s">
        <v>9</v>
      </c>
      <c r="F3" t="str">
        <f t="shared" ref="F3:F6" si="0">IF(INT(C3)=INT(D3),"Yes","No")</f>
        <v>Yes</v>
      </c>
      <c r="G3" t="str">
        <f t="shared" ref="G3:G6" si="1">IF(AND(INT(C3)=INT(D3),HOUR(C3)=HOUR(D3)),"Yes","No")</f>
        <v>No</v>
      </c>
      <c r="L3" t="s">
        <v>9</v>
      </c>
      <c r="M3">
        <f t="shared" ref="M3:M4" si="2">COUNTIFS($E:$E,L3,$F:$F,"Yes")</f>
        <v>2</v>
      </c>
      <c r="N3">
        <f t="shared" ref="N3:N4" si="3">COUNTIFS($E:$E,L3,$G:$G,"Yes")</f>
        <v>1</v>
      </c>
    </row>
    <row r="4" spans="1:14" x14ac:dyDescent="0.3">
      <c r="A4" t="s">
        <v>12</v>
      </c>
      <c r="B4" t="s">
        <v>11</v>
      </c>
      <c r="C4" s="1">
        <v>44430.416666666664</v>
      </c>
      <c r="D4" s="1">
        <v>44430.4375</v>
      </c>
      <c r="E4" t="s">
        <v>6</v>
      </c>
      <c r="F4" t="str">
        <f t="shared" si="0"/>
        <v>Yes</v>
      </c>
      <c r="G4" t="str">
        <f t="shared" si="1"/>
        <v>Yes</v>
      </c>
      <c r="L4" t="s">
        <v>16</v>
      </c>
      <c r="M4">
        <f t="shared" si="2"/>
        <v>0</v>
      </c>
      <c r="N4">
        <f t="shared" si="3"/>
        <v>0</v>
      </c>
    </row>
    <row r="5" spans="1:14" x14ac:dyDescent="0.3">
      <c r="A5" t="s">
        <v>14</v>
      </c>
      <c r="B5" t="s">
        <v>13</v>
      </c>
      <c r="C5" s="1">
        <v>44431.385416666664</v>
      </c>
      <c r="D5" s="1">
        <v>44431.385416666664</v>
      </c>
      <c r="E5" t="s">
        <v>9</v>
      </c>
      <c r="F5" t="str">
        <f t="shared" si="0"/>
        <v>Yes</v>
      </c>
      <c r="G5" t="str">
        <f t="shared" si="1"/>
        <v>Yes</v>
      </c>
    </row>
    <row r="6" spans="1:14" x14ac:dyDescent="0.3">
      <c r="A6" t="s">
        <v>17</v>
      </c>
      <c r="B6" t="s">
        <v>15</v>
      </c>
      <c r="C6" s="1">
        <v>44432.583333333336</v>
      </c>
      <c r="D6" s="1">
        <v>44433.625</v>
      </c>
      <c r="E6" t="s">
        <v>16</v>
      </c>
      <c r="F6" t="str">
        <f t="shared" si="0"/>
        <v>No</v>
      </c>
      <c r="G6" t="str">
        <f t="shared" si="1"/>
        <v>No</v>
      </c>
    </row>
    <row r="16" spans="1:14" x14ac:dyDescent="0.3">
      <c r="K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0B86-3D29-4EC1-94F4-64AD9E08FE03}">
  <dimension ref="A1:D6"/>
  <sheetViews>
    <sheetView workbookViewId="0">
      <selection activeCell="D2" sqref="D2"/>
    </sheetView>
  </sheetViews>
  <sheetFormatPr defaultRowHeight="14.4" x14ac:dyDescent="0.3"/>
  <cols>
    <col min="1" max="1" width="6.6640625" bestFit="1" customWidth="1"/>
    <col min="2" max="2" width="15.44140625" bestFit="1" customWidth="1"/>
    <col min="3" max="3" width="14.21875" bestFit="1" customWidth="1"/>
    <col min="4" max="4" width="15.5546875" style="1" bestFit="1" customWidth="1"/>
  </cols>
  <sheetData>
    <row r="1" spans="1:4" x14ac:dyDescent="0.3">
      <c r="A1" t="s">
        <v>4</v>
      </c>
      <c r="B1" t="s">
        <v>18</v>
      </c>
      <c r="C1" t="s">
        <v>19</v>
      </c>
      <c r="D1" s="1" t="s">
        <v>20</v>
      </c>
    </row>
    <row r="2" spans="1:4" x14ac:dyDescent="0.3">
      <c r="A2" t="s">
        <v>7</v>
      </c>
      <c r="B2" s="1">
        <v>44429.560277777775</v>
      </c>
      <c r="C2">
        <v>3</v>
      </c>
      <c r="D2" s="1">
        <f>VLOOKUP(A2, ticket!A:C, 3, FALSE)</f>
        <v>44427.698414351849</v>
      </c>
    </row>
    <row r="3" spans="1:4" x14ac:dyDescent="0.3">
      <c r="A3" t="s">
        <v>10</v>
      </c>
      <c r="B3" s="1">
        <v>44430.416666666664</v>
      </c>
      <c r="C3">
        <v>4</v>
      </c>
      <c r="D3" s="1">
        <f>VLOOKUP(A3, ticket!A:C, 3, FALSE)</f>
        <v>44429.464837962965</v>
      </c>
    </row>
    <row r="4" spans="1:4" x14ac:dyDescent="0.3">
      <c r="A4" t="s">
        <v>12</v>
      </c>
      <c r="B4" s="1">
        <v>44430.458333333336</v>
      </c>
      <c r="C4">
        <v>5</v>
      </c>
      <c r="D4" s="1">
        <f>VLOOKUP(A4, ticket!A:C, 3, FALSE)</f>
        <v>44430.416666666664</v>
      </c>
    </row>
    <row r="5" spans="1:4" x14ac:dyDescent="0.3">
      <c r="A5" t="s">
        <v>14</v>
      </c>
      <c r="B5" s="1">
        <v>44431.416666666664</v>
      </c>
      <c r="C5">
        <v>2</v>
      </c>
      <c r="D5" s="1">
        <f>VLOOKUP(A5, ticket!A:C, 3, FALSE)</f>
        <v>44431.385416666664</v>
      </c>
    </row>
    <row r="6" spans="1:4" x14ac:dyDescent="0.3">
      <c r="A6" t="s">
        <v>17</v>
      </c>
      <c r="B6" s="1">
        <v>44433.666666666664</v>
      </c>
      <c r="C6">
        <v>4</v>
      </c>
      <c r="D6" s="1">
        <f>VLOOKUP(A6, ticket!A:C, 3, FALSE)</f>
        <v>44432.583333333336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MITTAPALLI SAI PUJITHA</dc:creator>
  <cp:lastModifiedBy>MITTAPALLI SAI PUJITHA</cp:lastModifiedBy>
  <dcterms:created xsi:type="dcterms:W3CDTF">2026-04-09T07:06:34Z</dcterms:created>
  <dcterms:modified xsi:type="dcterms:W3CDTF">2026-04-09T09:06:24Z</dcterms:modified>
</cp:coreProperties>
</file>